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Summary" sheetId="2" state="visible" r:id="rId4"/>
  </sheets>
  <definedNames>
    <definedName function="false" hidden="true" localSheetId="0" name="_xlnm._FilterDatabase" vbProcedure="false">'Test Cases'!$A$1:$K$38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<sst xmlns="http://schemas.openxmlformats.org/spreadsheetml/2006/main" count="439" uniqueCount="260">
  <si>
    <t xml:space="preserve">ID</t>
  </si>
  <si>
    <t xml:space="preserve">Module</t>
  </si>
  <si>
    <t xml:space="preserve">Title</t>
  </si>
  <si>
    <t xml:space="preserve">Priority</t>
  </si>
  <si>
    <t xml:space="preserve">Type</t>
  </si>
  <si>
    <t xml:space="preserve">Preconditions</t>
  </si>
  <si>
    <t xml:space="preserve">Steps</t>
  </si>
  <si>
    <t xml:space="preserve">Test data</t>
  </si>
  <si>
    <t xml:space="preserve">Expected result</t>
  </si>
  <si>
    <t xml:space="preserve">Automation status</t>
  </si>
  <si>
    <t xml:space="preserve">Automated test</t>
  </si>
  <si>
    <t xml:space="preserve">TC_REG_01</t>
  </si>
  <si>
    <t xml:space="preserve">Register</t>
  </si>
  <si>
    <t xml:space="preserve">Register with valid data</t>
  </si>
  <si>
    <t xml:space="preserve">High</t>
  </si>
  <si>
    <t xml:space="preserve">Positive</t>
  </si>
  <si>
    <t xml:space="preserve">The home page is open; no customer is logged in</t>
  </si>
  <si>
    <t xml:space="preserve">1. Click Register in the header
2. Select a gender and fill in First name, Last name, Email, Password, Confirm password
3. Click Register</t>
  </si>
  <si>
    <t xml:space="preserve">Unique email (generated), password Test@12345</t>
  </si>
  <si>
    <t xml:space="preserve">Message 'Your registration completed' is displayed. The customer is logged in: the email is displayed in the header.</t>
  </si>
  <si>
    <t xml:space="preserve">Automated</t>
  </si>
  <si>
    <t xml:space="preserve">RegisterTest.registerWithValidData</t>
  </si>
  <si>
    <t xml:space="preserve">TC_REG_02</t>
  </si>
  <si>
    <t xml:space="preserve">Register with all mandatory fields empty</t>
  </si>
  <si>
    <t xml:space="preserve">Medium</t>
  </si>
  <si>
    <t xml:space="preserve">Negative</t>
  </si>
  <si>
    <t xml:space="preserve">1. Click Register in the header
2. Leave all fields empty
3. Click Register</t>
  </si>
  <si>
    <t xml:space="preserve">-</t>
  </si>
  <si>
    <t xml:space="preserve">The account is not created. Messages displayed: 'First name is required.', 'Last name is required.', 'Email is required.', 'Password is required.' (for both password fields).</t>
  </si>
  <si>
    <t xml:space="preserve">RegisterTest.registerWithEmptyMandatoryFields</t>
  </si>
  <si>
    <t xml:space="preserve">TC_REG_03</t>
  </si>
  <si>
    <t xml:space="preserve">Register with an invalid email format</t>
  </si>
  <si>
    <t xml:space="preserve">1. Click Register in the header
2. Fill in the form with an email without '@'
3. Click Register</t>
  </si>
  <si>
    <t xml:space="preserve">Email: ana.tester.example.com</t>
  </si>
  <si>
    <t xml:space="preserve">The account is not created. Message 'Wrong email' is displayed next to the Email field.</t>
  </si>
  <si>
    <t xml:space="preserve">RegisterTest.registerWithInvalidEmailFormat</t>
  </si>
  <si>
    <t xml:space="preserve">TC_REG_04</t>
  </si>
  <si>
    <t xml:space="preserve">Register with a password shorter than 6 characters</t>
  </si>
  <si>
    <t xml:space="preserve">1. Click Register in the header
2. Fill in the form with a 5 character password in both password fields
3. Click Register</t>
  </si>
  <si>
    <t xml:space="preserve">Password: 12345</t>
  </si>
  <si>
    <t xml:space="preserve">The account is not created. Message 'The password should have at least 6 characters.' is displayed.</t>
  </si>
  <si>
    <t xml:space="preserve">RegisterTest.registerWithShortPassword</t>
  </si>
  <si>
    <t xml:space="preserve">TC_REG_05</t>
  </si>
  <si>
    <t xml:space="preserve">Register with a different confirmation password</t>
  </si>
  <si>
    <t xml:space="preserve">1. Click Register in the header
2. Fill in the form with different values in Password and Confirm password
3. Click Register</t>
  </si>
  <si>
    <t xml:space="preserve">Test@12345 / Test@54321</t>
  </si>
  <si>
    <t xml:space="preserve">The account is not created. Message 'The password and confirmation password do not match.' is displayed.</t>
  </si>
  <si>
    <t xml:space="preserve">RegisterTest.registerWithMismatchedPasswords</t>
  </si>
  <si>
    <t xml:space="preserve">TC_REG_06</t>
  </si>
  <si>
    <t xml:space="preserve">Register with an email that is already registered</t>
  </si>
  <si>
    <t xml:space="preserve">An account with the email already exists; no customer is logged in</t>
  </si>
  <si>
    <t xml:space="preserve">1. Click Register in the header
2. Fill in the form with the email of the existing account
3. Click Register</t>
  </si>
  <si>
    <t xml:space="preserve">Email of the existing account</t>
  </si>
  <si>
    <t xml:space="preserve">The account is not created. Message 'The specified email already exists' is displayed.</t>
  </si>
  <si>
    <t xml:space="preserve">RegisterTest.registerWithExistingEmail</t>
  </si>
  <si>
    <t xml:space="preserve">TC_LOG_01</t>
  </si>
  <si>
    <t xml:space="preserve">Login</t>
  </si>
  <si>
    <t xml:space="preserve">Login with valid credentials</t>
  </si>
  <si>
    <t xml:space="preserve">A registered account exists; no customer is logged in</t>
  </si>
  <si>
    <t xml:space="preserve">1. Click Log in in the header
2. Enter the email and the password of the account
3. Click Log in</t>
  </si>
  <si>
    <t xml:space="preserve">Email and password of the account</t>
  </si>
  <si>
    <t xml:space="preserve">The customer is logged in: the email and the Log out link are displayed in the header.</t>
  </si>
  <si>
    <t xml:space="preserve">LoginTest.loginWithValidCredentials</t>
  </si>
  <si>
    <t xml:space="preserve">TC_LOG_02</t>
  </si>
  <si>
    <t xml:space="preserve">Login with a wrong password</t>
  </si>
  <si>
    <t xml:space="preserve">1. Click Log in in the header
2. Enter the email of the account and a wrong password
3. Click Log in</t>
  </si>
  <si>
    <t xml:space="preserve">Password: WrongPass@999</t>
  </si>
  <si>
    <t xml:space="preserve">The customer is not logged in. Message 'Login was unsuccessful. Please correct the errors and try again. The credentials provided are incorrect' is displayed.</t>
  </si>
  <si>
    <t xml:space="preserve">LoginTest.loginWithWrongPassword</t>
  </si>
  <si>
    <t xml:space="preserve">TC_LOG_03</t>
  </si>
  <si>
    <t xml:space="preserve">Login with an email that is not registered</t>
  </si>
  <si>
    <t xml:space="preserve">1. Click Log in in the header
2. Enter an email that has no account and any password
3. Click Log in</t>
  </si>
  <si>
    <t xml:space="preserve">Unique email (generated)</t>
  </si>
  <si>
    <t xml:space="preserve">The customer is not logged in. Message 'Login was unsuccessful. Please correct the errors and try again. No customer account found' is displayed.</t>
  </si>
  <si>
    <t xml:space="preserve">LoginTest.loginWithUnregisteredEmail</t>
  </si>
  <si>
    <t xml:space="preserve">TC_LOG_04</t>
  </si>
  <si>
    <t xml:space="preserve">Logout</t>
  </si>
  <si>
    <t xml:space="preserve">A customer is logged in</t>
  </si>
  <si>
    <t xml:space="preserve">1. Click Log out in the header</t>
  </si>
  <si>
    <t xml:space="preserve">The customer is logged out: the Log in link is displayed in the header and the Log out link is not.</t>
  </si>
  <si>
    <t xml:space="preserve">LoginTest.logout</t>
  </si>
  <si>
    <t xml:space="preserve">TC_SRC_01</t>
  </si>
  <si>
    <t xml:space="preserve">Search</t>
  </si>
  <si>
    <t xml:space="preserve">Search by an existing keyword</t>
  </si>
  <si>
    <t xml:space="preserve">1. Type the keyword in the search box from the header
2. Click Search</t>
  </si>
  <si>
    <t xml:space="preserve">Keyword: computer</t>
  </si>
  <si>
    <t xml:space="preserve">The Search page is displayed. At least one product is listed and every product title contains the keyword (not case sensitive).</t>
  </si>
  <si>
    <t xml:space="preserve">SearchTest.searchByExistingKeyword</t>
  </si>
  <si>
    <t xml:space="preserve">TC_SRC_02</t>
  </si>
  <si>
    <t xml:space="preserve">Search by a keyword with no results</t>
  </si>
  <si>
    <t xml:space="preserve">Keyword: zzzznotfound</t>
  </si>
  <si>
    <t xml:space="preserve">No product is listed. Message 'No products were found that matched your criteria.' is displayed.</t>
  </si>
  <si>
    <t xml:space="preserve">SearchTest.searchByKeywordWithNoResults</t>
  </si>
  <si>
    <t xml:space="preserve">TC_SRC_03</t>
  </si>
  <si>
    <t xml:space="preserve">Search with an empty keyword</t>
  </si>
  <si>
    <t xml:space="preserve">Low</t>
  </si>
  <si>
    <t xml:space="preserve">1. Leave the search box empty
2. Click Search</t>
  </si>
  <si>
    <t xml:space="preserve">The search is not executed. A browser alert with the text 'Please enter some search keyword' is displayed.</t>
  </si>
  <si>
    <t xml:space="preserve">SearchTest.searchWithEmptyKeyword</t>
  </si>
  <si>
    <t xml:space="preserve">TC_SRC_04</t>
  </si>
  <si>
    <t xml:space="preserve">Search by a keyword shorter than 3 characters</t>
  </si>
  <si>
    <t xml:space="preserve">1. Type a 2 character keyword in the search box
2. Click Search</t>
  </si>
  <si>
    <t xml:space="preserve">Keyword: co</t>
  </si>
  <si>
    <t xml:space="preserve">No product is listed. Warning 'Search term minimum length is 3 characters' is displayed.</t>
  </si>
  <si>
    <t xml:space="preserve">SearchTest.searchByShortKeyword</t>
  </si>
  <si>
    <t xml:space="preserve">TC_SRC_05</t>
  </si>
  <si>
    <t xml:space="preserve">Advanced search limited to a category</t>
  </si>
  <si>
    <t xml:space="preserve">The Search page is open</t>
  </si>
  <si>
    <t xml:space="preserve">1. Type the keyword in Search keyword
2. Check Advanced search
3. Select a category that does not contain the products and click Search
4. Select the category of the products and click Search</t>
  </si>
  <si>
    <t xml:space="preserve">Keyword: computer; Categories: Books, then Computers &gt;&gt; Desktops</t>
  </si>
  <si>
    <t xml:space="preserve">Step 3: message 'No products were found that matched your criteria.' is displayed. Step 4: products are listed and every title contains the keyword.</t>
  </si>
  <si>
    <t xml:space="preserve">SearchTest.advancedSearchByCategory</t>
  </si>
  <si>
    <t xml:space="preserve">TC_CAT_01</t>
  </si>
  <si>
    <t xml:space="preserve">Catalogue</t>
  </si>
  <si>
    <t xml:space="preserve">Open a category from the top menu</t>
  </si>
  <si>
    <t xml:space="preserve">1. Click Books in the top menu</t>
  </si>
  <si>
    <t xml:space="preserve">The Books page is displayed: page title 'Books', breadcrumb 'Home / Books', and the products of the category are listed.</t>
  </si>
  <si>
    <t xml:space="preserve">CatalogueTest.openCategoryFromTopMenu</t>
  </si>
  <si>
    <t xml:space="preserve">TC_CAT_02</t>
  </si>
  <si>
    <t xml:space="preserve">Open a sub-category</t>
  </si>
  <si>
    <t xml:space="preserve">1. Click Computers in the top menu
2. Click the Desktops sub-category</t>
  </si>
  <si>
    <t xml:space="preserve">The Desktops page is displayed with the page title 'Desktops' and its products.</t>
  </si>
  <si>
    <t xml:space="preserve">CatalogueTest.openSubCategory</t>
  </si>
  <si>
    <t xml:space="preserve">TC_CAT_03</t>
  </si>
  <si>
    <t xml:space="preserve">Sort products by price, low to high</t>
  </si>
  <si>
    <t xml:space="preserve">The Books page is open</t>
  </si>
  <si>
    <t xml:space="preserve">1. Select 'Price: Low to High' in Sort by</t>
  </si>
  <si>
    <t xml:space="preserve">The products are listed in ascending order of their current price.</t>
  </si>
  <si>
    <t xml:space="preserve">CatalogueTest.sortProductsByPriceLowToHigh</t>
  </si>
  <si>
    <t xml:space="preserve">TC_CAT_04</t>
  </si>
  <si>
    <t xml:space="preserve">Sort products by name, Z to A</t>
  </si>
  <si>
    <t xml:space="preserve">1. Select 'Name: Z to A' in Sort by</t>
  </si>
  <si>
    <t xml:space="preserve">The products are listed in descending alphabetical order of their names.</t>
  </si>
  <si>
    <t xml:space="preserve">CatalogueTest.sortProductsByNameZToA</t>
  </si>
  <si>
    <t xml:space="preserve">TC_CAT_05</t>
  </si>
  <si>
    <t xml:space="preserve">Change the number of products per page</t>
  </si>
  <si>
    <t xml:space="preserve">The Books page is open (6 products)</t>
  </si>
  <si>
    <t xml:space="preserve">1. Select 4 in Display ... per page</t>
  </si>
  <si>
    <t xml:space="preserve">At most 4 products are displayed and the pager is shown.</t>
  </si>
  <si>
    <t xml:space="preserve">CatalogueTest.changeNumberOfProductsPerPage</t>
  </si>
  <si>
    <t xml:space="preserve">TC_CAT_06</t>
  </si>
  <si>
    <t xml:space="preserve">Filter products by price range</t>
  </si>
  <si>
    <t xml:space="preserve">1. Click 'Under 25.00' in Filter by price</t>
  </si>
  <si>
    <t xml:space="preserve">Only products with a current price under 25.00 are listed.</t>
  </si>
  <si>
    <t xml:space="preserve">CatalogueTest.filterProductsByPriceRange</t>
  </si>
  <si>
    <t xml:space="preserve">TC_CAT_07</t>
  </si>
  <si>
    <t xml:space="preserve">Open the product details page</t>
  </si>
  <si>
    <t xml:space="preserve">1. Click the title of a product</t>
  </si>
  <si>
    <t xml:space="preserve">Product: Health Book</t>
  </si>
  <si>
    <t xml:space="preserve">The product page is displayed with the same name and price as in the listing, and with the Add to cart and Add to wishlist buttons.</t>
  </si>
  <si>
    <t xml:space="preserve">CatalogueTest.openProductDetailsPage</t>
  </si>
  <si>
    <t xml:space="preserve">TC_CRT_01</t>
  </si>
  <si>
    <t xml:space="preserve">Cart</t>
  </si>
  <si>
    <t xml:space="preserve">Add a product to the cart from the product page</t>
  </si>
  <si>
    <t xml:space="preserve">The cart is empty; the product page is open</t>
  </si>
  <si>
    <t xml:space="preserve">1. Click Add to cart
2. Open Shopping cart from the header</t>
  </si>
  <si>
    <t xml:space="preserve">Product: Health Book (10.00)</t>
  </si>
  <si>
    <t xml:space="preserve">Notification 'The product has been added to your shopping cart' is displayed and the header shows 'Shopping cart (1)'. The cart contains the product with quantity 1 and the correct price.</t>
  </si>
  <si>
    <t xml:space="preserve">CartTest.addProductToCartFromProductPage</t>
  </si>
  <si>
    <t xml:space="preserve">TC_CRT_02</t>
  </si>
  <si>
    <t xml:space="preserve">Add a product to the cart from the category listing</t>
  </si>
  <si>
    <t xml:space="preserve">The cart is empty; the Books page is open</t>
  </si>
  <si>
    <t xml:space="preserve">1. Click Add to cart on a product from the listing
2. Open Shopping cart from the header</t>
  </si>
  <si>
    <t xml:space="preserve">Product: Fiction</t>
  </si>
  <si>
    <t xml:space="preserve">The notification is displayed, the cart counter becomes 1 and the product is in the cart.</t>
  </si>
  <si>
    <t xml:space="preserve">CartTest.addProductToCartFromList</t>
  </si>
  <si>
    <t xml:space="preserve">TC_CRT_03</t>
  </si>
  <si>
    <t xml:space="preserve">Update the quantity of a product</t>
  </si>
  <si>
    <t xml:space="preserve">The cart contains one product with quantity 1</t>
  </si>
  <si>
    <t xml:space="preserve">1. Change Qty. to 3
2. Click Update shopping cart</t>
  </si>
  <si>
    <t xml:space="preserve">Qty: 3</t>
  </si>
  <si>
    <t xml:space="preserve">Qty. is 3, the line Total is unit price x 3 and Sub-Total is updated with the same value. The header counter shows the total quantity: 'Shopping cart (3)'.</t>
  </si>
  <si>
    <t xml:space="preserve">CartTest.updateProductQuantity</t>
  </si>
  <si>
    <t xml:space="preserve">TC_CRT_04</t>
  </si>
  <si>
    <t xml:space="preserve">Remove a product from the cart</t>
  </si>
  <si>
    <t xml:space="preserve">The cart contains one product</t>
  </si>
  <si>
    <t xml:space="preserve">1. Check Remove for the product
2. Click Update shopping cart</t>
  </si>
  <si>
    <t xml:space="preserve">Message 'Your Shopping Cart is empty!' is displayed and the header shows 'Shopping cart (0)'.</t>
  </si>
  <si>
    <t xml:space="preserve">CartTest.removeProductFromCart</t>
  </si>
  <si>
    <t xml:space="preserve">TC_CRT_05</t>
  </si>
  <si>
    <t xml:space="preserve">Sub-total with several products</t>
  </si>
  <si>
    <t xml:space="preserve">The cart is empty</t>
  </si>
  <si>
    <t xml:space="preserve">1. Add two different products to the cart
2. Open Shopping cart</t>
  </si>
  <si>
    <t xml:space="preserve">Products: Health Book, Fiction</t>
  </si>
  <si>
    <t xml:space="preserve">Both products are listed and Sub-Total is the sum of the line totals.</t>
  </si>
  <si>
    <t xml:space="preserve">CartTest.subTotalWithSeveralProducts</t>
  </si>
  <si>
    <t xml:space="preserve">TC_CRT_06</t>
  </si>
  <si>
    <t xml:space="preserve">Add a product with an invalid quantity</t>
  </si>
  <si>
    <t xml:space="preserve">The product page is open</t>
  </si>
  <si>
    <t xml:space="preserve">1. Enter 0 in Qty
2. Click Add to cart</t>
  </si>
  <si>
    <t xml:space="preserve">Qty: 0</t>
  </si>
  <si>
    <t xml:space="preserve">The product is not added. Red notification 'Quantity should be positive' is displayed and the cart stays empty ('Shopping cart (0)').</t>
  </si>
  <si>
    <t xml:space="preserve">CartTest.addProductWithInvalidQuantity</t>
  </si>
  <si>
    <t xml:space="preserve">TC_WSH_01</t>
  </si>
  <si>
    <t xml:space="preserve">Wishlist</t>
  </si>
  <si>
    <t xml:space="preserve">Add a product to the wishlist</t>
  </si>
  <si>
    <t xml:space="preserve">The wishlist is empty; the product page is open</t>
  </si>
  <si>
    <t xml:space="preserve">1. Click Add to wishlist
2. Open Wishlist from the header</t>
  </si>
  <si>
    <t xml:space="preserve">Notification 'The product has been added to your wishlist' is displayed, the header shows 'Wishlist (1)' and the product is listed in the wishlist.</t>
  </si>
  <si>
    <t xml:space="preserve">WishlistTest.addProductToWishlist</t>
  </si>
  <si>
    <t xml:space="preserve">TC_WSH_02</t>
  </si>
  <si>
    <t xml:space="preserve">Move a product from the wishlist to the cart</t>
  </si>
  <si>
    <t xml:space="preserve">The wishlist contains one product</t>
  </si>
  <si>
    <t xml:space="preserve">1. Open Wishlist
2. Check Add to cart for the product
3. Click Add to cart</t>
  </si>
  <si>
    <t xml:space="preserve">The Shopping cart page opens and contains the product; the header shows 'Wishlist (0)' and the wishlist shows 'The wishlist is empty!'.</t>
  </si>
  <si>
    <t xml:space="preserve">WishlistTest.moveProductFromWishlistToCart</t>
  </si>
  <si>
    <t xml:space="preserve">TC_WSH_03</t>
  </si>
  <si>
    <t xml:space="preserve">Remove a product from the wishlist</t>
  </si>
  <si>
    <t xml:space="preserve">1. Open Wishlist
2. Check Remove for the product
3. Click Update wishlist</t>
  </si>
  <si>
    <t xml:space="preserve">Message 'The wishlist is empty!' is displayed and the header shows 'Wishlist (0)'.</t>
  </si>
  <si>
    <t xml:space="preserve">WishlistTest.removeProductFromWishlist</t>
  </si>
  <si>
    <t xml:space="preserve">TC_CHK_01</t>
  </si>
  <si>
    <t xml:space="preserve">Checkout</t>
  </si>
  <si>
    <t xml:space="preserve">Checkout without accepting the terms of service</t>
  </si>
  <si>
    <t xml:space="preserve">1. Open Shopping cart
2. Leave 'I agree with the terms of service' unchecked
3. Click Checkout</t>
  </si>
  <si>
    <t xml:space="preserve">The checkout does not start (the Shopping cart page stays open). A 'Terms of service' pop-up shows 'Please accept the terms of service before the next step.'</t>
  </si>
  <si>
    <t xml:space="preserve">CheckoutTest.checkoutWithoutAcceptingTerms</t>
  </si>
  <si>
    <t xml:space="preserve">TC_CHK_02</t>
  </si>
  <si>
    <t xml:space="preserve">Place an order as a guest</t>
  </si>
  <si>
    <t xml:space="preserve">The cart contains one product; no customer is logged in</t>
  </si>
  <si>
    <t xml:space="preserve">1. Open Shopping cart, check 'I agree with the terms of service' and click Checkout
2. Click Checkout as Guest
3. Fill in the billing address and click Continue
4. Click Continue on Shipping address, Shipping method (Ground), Payment method (Cash On Delivery) and Payment information
5. Click Confirm</t>
  </si>
  <si>
    <t xml:space="preserve">Invented address in Romania; unique email @example.com</t>
  </si>
  <si>
    <t xml:space="preserve">The 'Thank you' page shows 'Your order has been successfully processed!' and an order number.</t>
  </si>
  <si>
    <t xml:space="preserve">CheckoutTest.placeOrderAsGuest</t>
  </si>
  <si>
    <t xml:space="preserve">TC_CHK_03</t>
  </si>
  <si>
    <t xml:space="preserve">Place an order as a registered customer</t>
  </si>
  <si>
    <t xml:space="preserve">A customer is logged in; the cart contains one product</t>
  </si>
  <si>
    <t xml:space="preserve">1. Open Shopping cart, accept the terms of service and click Checkout
2. Fill in the billing address and continue
3. Continue through the remaining steps
4. Click Confirm
5. Open My account &gt; Orders</t>
  </si>
  <si>
    <t xml:space="preserve">Billing address with test data</t>
  </si>
  <si>
    <t xml:space="preserve">The order is placed ('Your order has been successfully processed!') and its number is listed in My account &gt; Orders.</t>
  </si>
  <si>
    <t xml:space="preserve">CheckoutTest.placeOrderAsRegisteredCustomer</t>
  </si>
  <si>
    <t xml:space="preserve">TC_CHK_04</t>
  </si>
  <si>
    <t xml:space="preserve">Billing address with mandatory fields empty</t>
  </si>
  <si>
    <t xml:space="preserve">The checkout is at the billing address step</t>
  </si>
  <si>
    <t xml:space="preserve">1. Leave the mandatory fields empty
2. Click Continue</t>
  </si>
  <si>
    <t xml:space="preserve">The checkout stays on Billing address. Messages: 'First name is required.', 'Last name is required.', 'Email is required.', 'Country is required.', 'City is required', 'Street address is required', 'Zip / postal code is required', 'Phone is required'.</t>
  </si>
  <si>
    <t xml:space="preserve">CheckoutTest.billingAddressWithEmptyMandatoryFields</t>
  </si>
  <si>
    <t xml:space="preserve">TC_CHK_05</t>
  </si>
  <si>
    <t xml:space="preserve">Order total on the confirmation step</t>
  </si>
  <si>
    <t xml:space="preserve">The checkout is at the confirm order step</t>
  </si>
  <si>
    <t xml:space="preserve">1. Compare the products and amounts with the cart</t>
  </si>
  <si>
    <t xml:space="preserve">Sub-Total is the same as in the cart and Total = Sub-Total + Shipping + Payment method additional fee + Tax. Observed on 2026-10-08 for Fiction + Health Book: 34.00 + 10.00 (Ground) + 7.00 (COD) + 0.00 = 51.00.</t>
  </si>
  <si>
    <t xml:space="preserve">CheckoutTest.orderTotalOnConfirmationStep</t>
  </si>
  <si>
    <t xml:space="preserve">TC_CHK_06</t>
  </si>
  <si>
    <t xml:space="preserve">Cart is emptied after the order is placed</t>
  </si>
  <si>
    <t xml:space="preserve">An order has just been placed</t>
  </si>
  <si>
    <t xml:space="preserve">1. Open Shopping cart from the header</t>
  </si>
  <si>
    <t xml:space="preserve">Message 'Your Shopping Cart is empty!' is displayed.</t>
  </si>
  <si>
    <t xml:space="preserve">CheckoutTest.cartIsEmptyAfterOrder</t>
  </si>
  <si>
    <t xml:space="preserve">Demo Web Shop - Test case summary</t>
  </si>
  <si>
    <t xml:space="preserve">Application under test: https://demowebshop.tricentis.com/</t>
  </si>
  <si>
    <t xml:space="preserve">Total</t>
  </si>
  <si>
    <t xml:space="preserve">Planned</t>
  </si>
  <si>
    <t xml:space="preserve">High priority</t>
  </si>
  <si>
    <t xml:space="preserve">Automation coverage</t>
  </si>
  <si>
    <t xml:space="preserve">Notes</t>
  </si>
  <si>
    <t xml:space="preserve">Automation status is a drop-down on the Test Cases sheet; this summary recalculates from it.</t>
  </si>
  <si>
    <t xml:space="preserve">All 37 test cases are automated. README and GitHub Actions pipeline added.</t>
  </si>
  <si>
    <t xml:space="preserve">Expected results quoted in apostrophes are the exact texts of the application, read from the site on 2026-10-07.</t>
  </si>
  <si>
    <t xml:space="preserve">Runs on Chrome: 2026-10-07 Register and Login, 10 of 10 passed; 2026-10-08 up to Search and Catalogue, 22 of 22 passed; 2026-10-08 up to Cart and Wishlist, 31 of 31 passed. 2026-10-08 all modules: 35 of 37 passed; TC_CHK_04 and TC_CHK_05 failed on the timing of the checkout steps, fixed in CheckoutPage (to be confirmed by the next run).</t>
  </si>
</sst>
</file>

<file path=xl/styles.xml><?xml version="1.0" encoding="utf-8"?>
<styleSheet xmlns="http://schemas.openxmlformats.org/spreadsheetml/2006/main">
  <numFmts count="3">
    <numFmt numFmtId="164" formatCode="General"/>
    <numFmt numFmtId="165" formatCode="General"/>
    <numFmt numFmtId="166" formatCode="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30"/>
    <col collapsed="false" customWidth="true" hidden="false" outlineLevel="0" max="4" min="4" style="1" width="9"/>
    <col collapsed="false" customWidth="true" hidden="false" outlineLevel="0" max="5" min="5" style="1" width="10"/>
    <col collapsed="false" customWidth="true" hidden="false" outlineLevel="0" max="6" min="6" style="1" width="30"/>
    <col collapsed="false" customWidth="true" hidden="false" outlineLevel="0" max="7" min="7" style="1" width="48"/>
    <col collapsed="false" customWidth="true" hidden="false" outlineLevel="0" max="8" min="8" style="1" width="28"/>
    <col collapsed="false" customWidth="true" hidden="false" outlineLevel="0" max="9" min="9" style="1" width="52"/>
    <col collapsed="false" customWidth="true" hidden="false" outlineLevel="0" max="10" min="10" style="1" width="17"/>
    <col collapsed="false" customWidth="true" hidden="false" outlineLevel="0" max="11" min="11" style="1" width="34"/>
  </cols>
  <sheetData>
    <row r="1" customFormat="false" ht="24"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45.75" hidden="false" customHeight="true" outlineLevel="0" collapsed="false">
      <c r="A2" s="3" t="s">
        <v>11</v>
      </c>
      <c r="B2" s="3" t="s">
        <v>12</v>
      </c>
      <c r="C2" s="3" t="s">
        <v>13</v>
      </c>
      <c r="D2" s="3" t="s">
        <v>14</v>
      </c>
      <c r="E2" s="3" t="s">
        <v>15</v>
      </c>
      <c r="F2" s="3" t="s">
        <v>16</v>
      </c>
      <c r="G2" s="3" t="s">
        <v>17</v>
      </c>
      <c r="H2" s="3" t="s">
        <v>18</v>
      </c>
      <c r="I2" s="3" t="s">
        <v>19</v>
      </c>
      <c r="J2" s="3" t="s">
        <v>20</v>
      </c>
      <c r="K2" s="3" t="s">
        <v>21</v>
      </c>
    </row>
    <row r="3" customFormat="false" ht="34.5" hidden="false" customHeight="true" outlineLevel="0" collapsed="false">
      <c r="A3" s="3" t="s">
        <v>22</v>
      </c>
      <c r="B3" s="3" t="s">
        <v>12</v>
      </c>
      <c r="C3" s="3" t="s">
        <v>23</v>
      </c>
      <c r="D3" s="3" t="s">
        <v>24</v>
      </c>
      <c r="E3" s="3" t="s">
        <v>25</v>
      </c>
      <c r="F3" s="3" t="s">
        <v>16</v>
      </c>
      <c r="G3" s="3" t="s">
        <v>26</v>
      </c>
      <c r="H3" s="3" t="s">
        <v>27</v>
      </c>
      <c r="I3" s="3" t="s">
        <v>28</v>
      </c>
      <c r="J3" s="3" t="s">
        <v>20</v>
      </c>
      <c r="K3" s="3" t="s">
        <v>29</v>
      </c>
    </row>
    <row r="4" customFormat="false" ht="34.5" hidden="false" customHeight="true" outlineLevel="0" collapsed="false">
      <c r="A4" s="3" t="s">
        <v>30</v>
      </c>
      <c r="B4" s="3" t="s">
        <v>12</v>
      </c>
      <c r="C4" s="3" t="s">
        <v>31</v>
      </c>
      <c r="D4" s="3" t="s">
        <v>24</v>
      </c>
      <c r="E4" s="3" t="s">
        <v>25</v>
      </c>
      <c r="F4" s="3" t="s">
        <v>16</v>
      </c>
      <c r="G4" s="3" t="s">
        <v>32</v>
      </c>
      <c r="H4" s="3" t="s">
        <v>33</v>
      </c>
      <c r="I4" s="3" t="s">
        <v>34</v>
      </c>
      <c r="J4" s="3" t="s">
        <v>20</v>
      </c>
      <c r="K4" s="3" t="s">
        <v>35</v>
      </c>
    </row>
    <row r="5" customFormat="false" ht="45.75" hidden="false" customHeight="true" outlineLevel="0" collapsed="false">
      <c r="A5" s="3" t="s">
        <v>36</v>
      </c>
      <c r="B5" s="3" t="s">
        <v>12</v>
      </c>
      <c r="C5" s="3" t="s">
        <v>37</v>
      </c>
      <c r="D5" s="3" t="s">
        <v>24</v>
      </c>
      <c r="E5" s="3" t="s">
        <v>25</v>
      </c>
      <c r="F5" s="3" t="s">
        <v>16</v>
      </c>
      <c r="G5" s="3" t="s">
        <v>38</v>
      </c>
      <c r="H5" s="3" t="s">
        <v>39</v>
      </c>
      <c r="I5" s="3" t="s">
        <v>40</v>
      </c>
      <c r="J5" s="3" t="s">
        <v>20</v>
      </c>
      <c r="K5" s="3" t="s">
        <v>41</v>
      </c>
    </row>
    <row r="6" customFormat="false" ht="45.75" hidden="false" customHeight="true" outlineLevel="0" collapsed="false">
      <c r="A6" s="3" t="s">
        <v>42</v>
      </c>
      <c r="B6" s="3" t="s">
        <v>12</v>
      </c>
      <c r="C6" s="3" t="s">
        <v>43</v>
      </c>
      <c r="D6" s="3" t="s">
        <v>24</v>
      </c>
      <c r="E6" s="3" t="s">
        <v>25</v>
      </c>
      <c r="F6" s="3" t="s">
        <v>16</v>
      </c>
      <c r="G6" s="3" t="s">
        <v>44</v>
      </c>
      <c r="H6" s="3" t="s">
        <v>45</v>
      </c>
      <c r="I6" s="3" t="s">
        <v>46</v>
      </c>
      <c r="J6" s="3" t="s">
        <v>20</v>
      </c>
      <c r="K6" s="3" t="s">
        <v>47</v>
      </c>
    </row>
    <row r="7" customFormat="false" ht="34.5" hidden="false" customHeight="true" outlineLevel="0" collapsed="false">
      <c r="A7" s="3" t="s">
        <v>48</v>
      </c>
      <c r="B7" s="3" t="s">
        <v>12</v>
      </c>
      <c r="C7" s="3" t="s">
        <v>49</v>
      </c>
      <c r="D7" s="3" t="s">
        <v>14</v>
      </c>
      <c r="E7" s="3" t="s">
        <v>25</v>
      </c>
      <c r="F7" s="3" t="s">
        <v>50</v>
      </c>
      <c r="G7" s="3" t="s">
        <v>51</v>
      </c>
      <c r="H7" s="3" t="s">
        <v>52</v>
      </c>
      <c r="I7" s="3" t="s">
        <v>53</v>
      </c>
      <c r="J7" s="3" t="s">
        <v>20</v>
      </c>
      <c r="K7" s="3" t="s">
        <v>54</v>
      </c>
    </row>
    <row r="8" customFormat="false" ht="34.5" hidden="false" customHeight="true" outlineLevel="0" collapsed="false">
      <c r="A8" s="3" t="s">
        <v>55</v>
      </c>
      <c r="B8" s="3" t="s">
        <v>56</v>
      </c>
      <c r="C8" s="3" t="s">
        <v>57</v>
      </c>
      <c r="D8" s="3" t="s">
        <v>14</v>
      </c>
      <c r="E8" s="3" t="s">
        <v>15</v>
      </c>
      <c r="F8" s="3" t="s">
        <v>58</v>
      </c>
      <c r="G8" s="3" t="s">
        <v>59</v>
      </c>
      <c r="H8" s="3" t="s">
        <v>60</v>
      </c>
      <c r="I8" s="3" t="s">
        <v>61</v>
      </c>
      <c r="J8" s="3" t="s">
        <v>20</v>
      </c>
      <c r="K8" s="3" t="s">
        <v>62</v>
      </c>
    </row>
    <row r="9" customFormat="false" ht="34.5" hidden="false" customHeight="true" outlineLevel="0" collapsed="false">
      <c r="A9" s="3" t="s">
        <v>63</v>
      </c>
      <c r="B9" s="3" t="s">
        <v>56</v>
      </c>
      <c r="C9" s="3" t="s">
        <v>64</v>
      </c>
      <c r="D9" s="3" t="s">
        <v>14</v>
      </c>
      <c r="E9" s="3" t="s">
        <v>25</v>
      </c>
      <c r="F9" s="3" t="s">
        <v>58</v>
      </c>
      <c r="G9" s="3" t="s">
        <v>65</v>
      </c>
      <c r="H9" s="3" t="s">
        <v>66</v>
      </c>
      <c r="I9" s="3" t="s">
        <v>67</v>
      </c>
      <c r="J9" s="3" t="s">
        <v>20</v>
      </c>
      <c r="K9" s="3" t="s">
        <v>68</v>
      </c>
    </row>
    <row r="10" customFormat="false" ht="34.5" hidden="false" customHeight="true" outlineLevel="0" collapsed="false">
      <c r="A10" s="3" t="s">
        <v>69</v>
      </c>
      <c r="B10" s="3" t="s">
        <v>56</v>
      </c>
      <c r="C10" s="3" t="s">
        <v>70</v>
      </c>
      <c r="D10" s="3" t="s">
        <v>24</v>
      </c>
      <c r="E10" s="3" t="s">
        <v>25</v>
      </c>
      <c r="F10" s="3" t="s">
        <v>16</v>
      </c>
      <c r="G10" s="3" t="s">
        <v>71</v>
      </c>
      <c r="H10" s="3" t="s">
        <v>72</v>
      </c>
      <c r="I10" s="3" t="s">
        <v>73</v>
      </c>
      <c r="J10" s="3" t="s">
        <v>20</v>
      </c>
      <c r="K10" s="3" t="s">
        <v>74</v>
      </c>
    </row>
    <row r="11" customFormat="false" ht="23.25" hidden="false" customHeight="true" outlineLevel="0" collapsed="false">
      <c r="A11" s="3" t="s">
        <v>75</v>
      </c>
      <c r="B11" s="3" t="s">
        <v>56</v>
      </c>
      <c r="C11" s="3" t="s">
        <v>76</v>
      </c>
      <c r="D11" s="3" t="s">
        <v>14</v>
      </c>
      <c r="E11" s="3" t="s">
        <v>15</v>
      </c>
      <c r="F11" s="3" t="s">
        <v>77</v>
      </c>
      <c r="G11" s="3" t="s">
        <v>78</v>
      </c>
      <c r="H11" s="3" t="s">
        <v>27</v>
      </c>
      <c r="I11" s="3" t="s">
        <v>79</v>
      </c>
      <c r="J11" s="3" t="s">
        <v>20</v>
      </c>
      <c r="K11" s="3" t="s">
        <v>80</v>
      </c>
    </row>
    <row r="12" customFormat="false" ht="23.25" hidden="false" customHeight="true" outlineLevel="0" collapsed="false">
      <c r="A12" s="3" t="s">
        <v>81</v>
      </c>
      <c r="B12" s="3" t="s">
        <v>82</v>
      </c>
      <c r="C12" s="3" t="s">
        <v>83</v>
      </c>
      <c r="D12" s="3" t="s">
        <v>14</v>
      </c>
      <c r="E12" s="3" t="s">
        <v>15</v>
      </c>
      <c r="F12" s="3" t="s">
        <v>16</v>
      </c>
      <c r="G12" s="3" t="s">
        <v>84</v>
      </c>
      <c r="H12" s="3" t="s">
        <v>85</v>
      </c>
      <c r="I12" s="3" t="s">
        <v>86</v>
      </c>
      <c r="J12" s="3" t="s">
        <v>20</v>
      </c>
      <c r="K12" s="3" t="s">
        <v>87</v>
      </c>
    </row>
    <row r="13" customFormat="false" ht="23.25" hidden="false" customHeight="true" outlineLevel="0" collapsed="false">
      <c r="A13" s="3" t="s">
        <v>88</v>
      </c>
      <c r="B13" s="3" t="s">
        <v>82</v>
      </c>
      <c r="C13" s="3" t="s">
        <v>89</v>
      </c>
      <c r="D13" s="3" t="s">
        <v>24</v>
      </c>
      <c r="E13" s="3" t="s">
        <v>25</v>
      </c>
      <c r="F13" s="3" t="s">
        <v>16</v>
      </c>
      <c r="G13" s="3" t="s">
        <v>84</v>
      </c>
      <c r="H13" s="3" t="s">
        <v>90</v>
      </c>
      <c r="I13" s="3" t="s">
        <v>91</v>
      </c>
      <c r="J13" s="3" t="s">
        <v>20</v>
      </c>
      <c r="K13" s="3" t="s">
        <v>92</v>
      </c>
    </row>
    <row r="14" customFormat="false" ht="23.25" hidden="false" customHeight="true" outlineLevel="0" collapsed="false">
      <c r="A14" s="3" t="s">
        <v>93</v>
      </c>
      <c r="B14" s="3" t="s">
        <v>82</v>
      </c>
      <c r="C14" s="3" t="s">
        <v>94</v>
      </c>
      <c r="D14" s="3" t="s">
        <v>95</v>
      </c>
      <c r="E14" s="3" t="s">
        <v>25</v>
      </c>
      <c r="F14" s="3" t="s">
        <v>16</v>
      </c>
      <c r="G14" s="3" t="s">
        <v>96</v>
      </c>
      <c r="H14" s="3" t="s">
        <v>27</v>
      </c>
      <c r="I14" s="3" t="s">
        <v>97</v>
      </c>
      <c r="J14" s="3" t="s">
        <v>20</v>
      </c>
      <c r="K14" s="3" t="s">
        <v>98</v>
      </c>
    </row>
    <row r="15" customFormat="false" ht="23.25" hidden="false" customHeight="true" outlineLevel="0" collapsed="false">
      <c r="A15" s="3" t="s">
        <v>99</v>
      </c>
      <c r="B15" s="3" t="s">
        <v>82</v>
      </c>
      <c r="C15" s="3" t="s">
        <v>100</v>
      </c>
      <c r="D15" s="3" t="s">
        <v>95</v>
      </c>
      <c r="E15" s="3" t="s">
        <v>25</v>
      </c>
      <c r="F15" s="3" t="s">
        <v>16</v>
      </c>
      <c r="G15" s="3" t="s">
        <v>101</v>
      </c>
      <c r="H15" s="3" t="s">
        <v>102</v>
      </c>
      <c r="I15" s="3" t="s">
        <v>103</v>
      </c>
      <c r="J15" s="3" t="s">
        <v>20</v>
      </c>
      <c r="K15" s="3" t="s">
        <v>104</v>
      </c>
    </row>
    <row r="16" customFormat="false" ht="45.75" hidden="false" customHeight="true" outlineLevel="0" collapsed="false">
      <c r="A16" s="3" t="s">
        <v>105</v>
      </c>
      <c r="B16" s="3" t="s">
        <v>82</v>
      </c>
      <c r="C16" s="3" t="s">
        <v>106</v>
      </c>
      <c r="D16" s="3" t="s">
        <v>24</v>
      </c>
      <c r="E16" s="3" t="s">
        <v>15</v>
      </c>
      <c r="F16" s="3" t="s">
        <v>107</v>
      </c>
      <c r="G16" s="3" t="s">
        <v>108</v>
      </c>
      <c r="H16" s="3" t="s">
        <v>109</v>
      </c>
      <c r="I16" s="3" t="s">
        <v>110</v>
      </c>
      <c r="J16" s="3" t="s">
        <v>20</v>
      </c>
      <c r="K16" s="3" t="s">
        <v>111</v>
      </c>
    </row>
    <row r="17" customFormat="false" ht="23.25" hidden="false" customHeight="true" outlineLevel="0" collapsed="false">
      <c r="A17" s="3" t="s">
        <v>112</v>
      </c>
      <c r="B17" s="3" t="s">
        <v>113</v>
      </c>
      <c r="C17" s="3" t="s">
        <v>114</v>
      </c>
      <c r="D17" s="3" t="s">
        <v>14</v>
      </c>
      <c r="E17" s="3" t="s">
        <v>15</v>
      </c>
      <c r="F17" s="3" t="s">
        <v>16</v>
      </c>
      <c r="G17" s="3" t="s">
        <v>115</v>
      </c>
      <c r="H17" s="3" t="s">
        <v>27</v>
      </c>
      <c r="I17" s="3" t="s">
        <v>116</v>
      </c>
      <c r="J17" s="3" t="s">
        <v>20</v>
      </c>
      <c r="K17" s="3" t="s">
        <v>117</v>
      </c>
    </row>
    <row r="18" customFormat="false" ht="23.25" hidden="false" customHeight="true" outlineLevel="0" collapsed="false">
      <c r="A18" s="3" t="s">
        <v>118</v>
      </c>
      <c r="B18" s="3" t="s">
        <v>113</v>
      </c>
      <c r="C18" s="3" t="s">
        <v>119</v>
      </c>
      <c r="D18" s="3" t="s">
        <v>24</v>
      </c>
      <c r="E18" s="3" t="s">
        <v>15</v>
      </c>
      <c r="F18" s="3" t="s">
        <v>16</v>
      </c>
      <c r="G18" s="3" t="s">
        <v>120</v>
      </c>
      <c r="H18" s="3" t="s">
        <v>27</v>
      </c>
      <c r="I18" s="3" t="s">
        <v>121</v>
      </c>
      <c r="J18" s="3" t="s">
        <v>20</v>
      </c>
      <c r="K18" s="3" t="s">
        <v>122</v>
      </c>
    </row>
    <row r="19" customFormat="false" ht="15" hidden="false" customHeight="true" outlineLevel="0" collapsed="false">
      <c r="A19" s="3" t="s">
        <v>123</v>
      </c>
      <c r="B19" s="3" t="s">
        <v>113</v>
      </c>
      <c r="C19" s="3" t="s">
        <v>124</v>
      </c>
      <c r="D19" s="3" t="s">
        <v>24</v>
      </c>
      <c r="E19" s="3" t="s">
        <v>15</v>
      </c>
      <c r="F19" s="3" t="s">
        <v>125</v>
      </c>
      <c r="G19" s="3" t="s">
        <v>126</v>
      </c>
      <c r="H19" s="3" t="s">
        <v>27</v>
      </c>
      <c r="I19" s="3" t="s">
        <v>127</v>
      </c>
      <c r="J19" s="3" t="s">
        <v>20</v>
      </c>
      <c r="K19" s="3" t="s">
        <v>128</v>
      </c>
    </row>
    <row r="20" customFormat="false" ht="23.25" hidden="false" customHeight="true" outlineLevel="0" collapsed="false">
      <c r="A20" s="3" t="s">
        <v>129</v>
      </c>
      <c r="B20" s="3" t="s">
        <v>113</v>
      </c>
      <c r="C20" s="3" t="s">
        <v>130</v>
      </c>
      <c r="D20" s="3" t="s">
        <v>95</v>
      </c>
      <c r="E20" s="3" t="s">
        <v>15</v>
      </c>
      <c r="F20" s="3" t="s">
        <v>125</v>
      </c>
      <c r="G20" s="3" t="s">
        <v>131</v>
      </c>
      <c r="H20" s="3" t="s">
        <v>27</v>
      </c>
      <c r="I20" s="3" t="s">
        <v>132</v>
      </c>
      <c r="J20" s="3" t="s">
        <v>20</v>
      </c>
      <c r="K20" s="3" t="s">
        <v>133</v>
      </c>
    </row>
    <row r="21" customFormat="false" ht="23.25" hidden="false" customHeight="true" outlineLevel="0" collapsed="false">
      <c r="A21" s="3" t="s">
        <v>134</v>
      </c>
      <c r="B21" s="3" t="s">
        <v>113</v>
      </c>
      <c r="C21" s="3" t="s">
        <v>135</v>
      </c>
      <c r="D21" s="3" t="s">
        <v>95</v>
      </c>
      <c r="E21" s="3" t="s">
        <v>15</v>
      </c>
      <c r="F21" s="3" t="s">
        <v>136</v>
      </c>
      <c r="G21" s="3" t="s">
        <v>137</v>
      </c>
      <c r="H21" s="3" t="s">
        <v>27</v>
      </c>
      <c r="I21" s="3" t="s">
        <v>138</v>
      </c>
      <c r="J21" s="3" t="s">
        <v>20</v>
      </c>
      <c r="K21" s="3" t="s">
        <v>139</v>
      </c>
    </row>
    <row r="22" customFormat="false" ht="15" hidden="false" customHeight="true" outlineLevel="0" collapsed="false">
      <c r="A22" s="3" t="s">
        <v>140</v>
      </c>
      <c r="B22" s="3" t="s">
        <v>113</v>
      </c>
      <c r="C22" s="3" t="s">
        <v>141</v>
      </c>
      <c r="D22" s="3" t="s">
        <v>24</v>
      </c>
      <c r="E22" s="3" t="s">
        <v>15</v>
      </c>
      <c r="F22" s="3" t="s">
        <v>125</v>
      </c>
      <c r="G22" s="3" t="s">
        <v>142</v>
      </c>
      <c r="H22" s="3" t="s">
        <v>27</v>
      </c>
      <c r="I22" s="3" t="s">
        <v>143</v>
      </c>
      <c r="J22" s="3" t="s">
        <v>20</v>
      </c>
      <c r="K22" s="3" t="s">
        <v>144</v>
      </c>
    </row>
    <row r="23" customFormat="false" ht="34.5" hidden="false" customHeight="true" outlineLevel="0" collapsed="false">
      <c r="A23" s="3" t="s">
        <v>145</v>
      </c>
      <c r="B23" s="3" t="s">
        <v>113</v>
      </c>
      <c r="C23" s="3" t="s">
        <v>146</v>
      </c>
      <c r="D23" s="3" t="s">
        <v>14</v>
      </c>
      <c r="E23" s="3" t="s">
        <v>15</v>
      </c>
      <c r="F23" s="3" t="s">
        <v>125</v>
      </c>
      <c r="G23" s="3" t="s">
        <v>147</v>
      </c>
      <c r="H23" s="3" t="s">
        <v>148</v>
      </c>
      <c r="I23" s="3" t="s">
        <v>149</v>
      </c>
      <c r="J23" s="3" t="s">
        <v>20</v>
      </c>
      <c r="K23" s="3" t="s">
        <v>150</v>
      </c>
    </row>
    <row r="24" customFormat="false" ht="34.5" hidden="false" customHeight="true" outlineLevel="0" collapsed="false">
      <c r="A24" s="3" t="s">
        <v>151</v>
      </c>
      <c r="B24" s="3" t="s">
        <v>152</v>
      </c>
      <c r="C24" s="3" t="s">
        <v>153</v>
      </c>
      <c r="D24" s="3" t="s">
        <v>14</v>
      </c>
      <c r="E24" s="3" t="s">
        <v>15</v>
      </c>
      <c r="F24" s="3" t="s">
        <v>154</v>
      </c>
      <c r="G24" s="3" t="s">
        <v>155</v>
      </c>
      <c r="H24" s="3" t="s">
        <v>156</v>
      </c>
      <c r="I24" s="3" t="s">
        <v>157</v>
      </c>
      <c r="J24" s="3" t="s">
        <v>20</v>
      </c>
      <c r="K24" s="3" t="s">
        <v>158</v>
      </c>
    </row>
    <row r="25" customFormat="false" ht="23.25" hidden="false" customHeight="true" outlineLevel="0" collapsed="false">
      <c r="A25" s="3" t="s">
        <v>159</v>
      </c>
      <c r="B25" s="3" t="s">
        <v>152</v>
      </c>
      <c r="C25" s="3" t="s">
        <v>160</v>
      </c>
      <c r="D25" s="3" t="s">
        <v>24</v>
      </c>
      <c r="E25" s="3" t="s">
        <v>15</v>
      </c>
      <c r="F25" s="3" t="s">
        <v>161</v>
      </c>
      <c r="G25" s="3" t="s">
        <v>162</v>
      </c>
      <c r="H25" s="3" t="s">
        <v>163</v>
      </c>
      <c r="I25" s="3" t="s">
        <v>164</v>
      </c>
      <c r="J25" s="3" t="s">
        <v>20</v>
      </c>
      <c r="K25" s="3" t="s">
        <v>165</v>
      </c>
    </row>
    <row r="26" customFormat="false" ht="23.25" hidden="false" customHeight="true" outlineLevel="0" collapsed="false">
      <c r="A26" s="3" t="s">
        <v>166</v>
      </c>
      <c r="B26" s="3" t="s">
        <v>152</v>
      </c>
      <c r="C26" s="3" t="s">
        <v>167</v>
      </c>
      <c r="D26" s="3" t="s">
        <v>14</v>
      </c>
      <c r="E26" s="3" t="s">
        <v>15</v>
      </c>
      <c r="F26" s="3" t="s">
        <v>168</v>
      </c>
      <c r="G26" s="3" t="s">
        <v>169</v>
      </c>
      <c r="H26" s="3" t="s">
        <v>170</v>
      </c>
      <c r="I26" s="3" t="s">
        <v>171</v>
      </c>
      <c r="J26" s="3" t="s">
        <v>20</v>
      </c>
      <c r="K26" s="3" t="s">
        <v>172</v>
      </c>
    </row>
    <row r="27" customFormat="false" ht="23.25" hidden="false" customHeight="true" outlineLevel="0" collapsed="false">
      <c r="A27" s="3" t="s">
        <v>173</v>
      </c>
      <c r="B27" s="3" t="s">
        <v>152</v>
      </c>
      <c r="C27" s="3" t="s">
        <v>174</v>
      </c>
      <c r="D27" s="3" t="s">
        <v>14</v>
      </c>
      <c r="E27" s="3" t="s">
        <v>15</v>
      </c>
      <c r="F27" s="3" t="s">
        <v>175</v>
      </c>
      <c r="G27" s="3" t="s">
        <v>176</v>
      </c>
      <c r="H27" s="3" t="s">
        <v>27</v>
      </c>
      <c r="I27" s="3" t="s">
        <v>177</v>
      </c>
      <c r="J27" s="3" t="s">
        <v>20</v>
      </c>
      <c r="K27" s="3" t="s">
        <v>178</v>
      </c>
    </row>
    <row r="28" customFormat="false" ht="23.25" hidden="false" customHeight="true" outlineLevel="0" collapsed="false">
      <c r="A28" s="3" t="s">
        <v>179</v>
      </c>
      <c r="B28" s="3" t="s">
        <v>152</v>
      </c>
      <c r="C28" s="3" t="s">
        <v>180</v>
      </c>
      <c r="D28" s="3" t="s">
        <v>24</v>
      </c>
      <c r="E28" s="3" t="s">
        <v>15</v>
      </c>
      <c r="F28" s="3" t="s">
        <v>181</v>
      </c>
      <c r="G28" s="3" t="s">
        <v>182</v>
      </c>
      <c r="H28" s="3" t="s">
        <v>183</v>
      </c>
      <c r="I28" s="3" t="s">
        <v>184</v>
      </c>
      <c r="J28" s="3" t="s">
        <v>20</v>
      </c>
      <c r="K28" s="3" t="s">
        <v>185</v>
      </c>
    </row>
    <row r="29" customFormat="false" ht="23.25" hidden="false" customHeight="true" outlineLevel="0" collapsed="false">
      <c r="A29" s="3" t="s">
        <v>186</v>
      </c>
      <c r="B29" s="3" t="s">
        <v>152</v>
      </c>
      <c r="C29" s="3" t="s">
        <v>187</v>
      </c>
      <c r="D29" s="3" t="s">
        <v>95</v>
      </c>
      <c r="E29" s="3" t="s">
        <v>25</v>
      </c>
      <c r="F29" s="3" t="s">
        <v>188</v>
      </c>
      <c r="G29" s="3" t="s">
        <v>189</v>
      </c>
      <c r="H29" s="3" t="s">
        <v>190</v>
      </c>
      <c r="I29" s="3" t="s">
        <v>191</v>
      </c>
      <c r="J29" s="3" t="s">
        <v>20</v>
      </c>
      <c r="K29" s="3" t="s">
        <v>192</v>
      </c>
    </row>
    <row r="30" customFormat="false" ht="34.5" hidden="false" customHeight="true" outlineLevel="0" collapsed="false">
      <c r="A30" s="3" t="s">
        <v>193</v>
      </c>
      <c r="B30" s="3" t="s">
        <v>194</v>
      </c>
      <c r="C30" s="3" t="s">
        <v>195</v>
      </c>
      <c r="D30" s="3" t="s">
        <v>24</v>
      </c>
      <c r="E30" s="3" t="s">
        <v>15</v>
      </c>
      <c r="F30" s="3" t="s">
        <v>196</v>
      </c>
      <c r="G30" s="3" t="s">
        <v>197</v>
      </c>
      <c r="H30" s="3" t="s">
        <v>148</v>
      </c>
      <c r="I30" s="3" t="s">
        <v>198</v>
      </c>
      <c r="J30" s="3" t="s">
        <v>20</v>
      </c>
      <c r="K30" s="3" t="s">
        <v>199</v>
      </c>
    </row>
    <row r="31" customFormat="false" ht="34.5" hidden="false" customHeight="true" outlineLevel="0" collapsed="false">
      <c r="A31" s="3" t="s">
        <v>200</v>
      </c>
      <c r="B31" s="3" t="s">
        <v>194</v>
      </c>
      <c r="C31" s="3" t="s">
        <v>201</v>
      </c>
      <c r="D31" s="3" t="s">
        <v>24</v>
      </c>
      <c r="E31" s="3" t="s">
        <v>15</v>
      </c>
      <c r="F31" s="3" t="s">
        <v>202</v>
      </c>
      <c r="G31" s="3" t="s">
        <v>203</v>
      </c>
      <c r="H31" s="3" t="s">
        <v>27</v>
      </c>
      <c r="I31" s="3" t="s">
        <v>204</v>
      </c>
      <c r="J31" s="3" t="s">
        <v>20</v>
      </c>
      <c r="K31" s="3" t="s">
        <v>205</v>
      </c>
    </row>
    <row r="32" customFormat="false" ht="34.5" hidden="false" customHeight="true" outlineLevel="0" collapsed="false">
      <c r="A32" s="3" t="s">
        <v>206</v>
      </c>
      <c r="B32" s="3" t="s">
        <v>194</v>
      </c>
      <c r="C32" s="3" t="s">
        <v>207</v>
      </c>
      <c r="D32" s="3" t="s">
        <v>95</v>
      </c>
      <c r="E32" s="3" t="s">
        <v>15</v>
      </c>
      <c r="F32" s="3" t="s">
        <v>202</v>
      </c>
      <c r="G32" s="3" t="s">
        <v>208</v>
      </c>
      <c r="H32" s="3" t="s">
        <v>27</v>
      </c>
      <c r="I32" s="3" t="s">
        <v>209</v>
      </c>
      <c r="J32" s="3" t="s">
        <v>20</v>
      </c>
      <c r="K32" s="3" t="s">
        <v>210</v>
      </c>
    </row>
    <row r="33" customFormat="false" ht="34.5" hidden="false" customHeight="true" outlineLevel="0" collapsed="false">
      <c r="A33" s="3" t="s">
        <v>211</v>
      </c>
      <c r="B33" s="3" t="s">
        <v>212</v>
      </c>
      <c r="C33" s="3" t="s">
        <v>213</v>
      </c>
      <c r="D33" s="3" t="s">
        <v>14</v>
      </c>
      <c r="E33" s="3" t="s">
        <v>25</v>
      </c>
      <c r="F33" s="3" t="s">
        <v>175</v>
      </c>
      <c r="G33" s="3" t="s">
        <v>214</v>
      </c>
      <c r="H33" s="3" t="s">
        <v>27</v>
      </c>
      <c r="I33" s="3" t="s">
        <v>215</v>
      </c>
      <c r="J33" s="3" t="s">
        <v>20</v>
      </c>
      <c r="K33" s="3" t="s">
        <v>216</v>
      </c>
    </row>
    <row r="34" customFormat="false" ht="79.5" hidden="false" customHeight="true" outlineLevel="0" collapsed="false">
      <c r="A34" s="3" t="s">
        <v>217</v>
      </c>
      <c r="B34" s="3" t="s">
        <v>212</v>
      </c>
      <c r="C34" s="3" t="s">
        <v>218</v>
      </c>
      <c r="D34" s="3" t="s">
        <v>14</v>
      </c>
      <c r="E34" s="3" t="s">
        <v>15</v>
      </c>
      <c r="F34" s="3" t="s">
        <v>219</v>
      </c>
      <c r="G34" s="3" t="s">
        <v>220</v>
      </c>
      <c r="H34" s="3" t="s">
        <v>221</v>
      </c>
      <c r="I34" s="3" t="s">
        <v>222</v>
      </c>
      <c r="J34" s="3" t="s">
        <v>20</v>
      </c>
      <c r="K34" s="3" t="s">
        <v>223</v>
      </c>
    </row>
    <row r="35" customFormat="false" ht="68.25" hidden="false" customHeight="true" outlineLevel="0" collapsed="false">
      <c r="A35" s="3" t="s">
        <v>224</v>
      </c>
      <c r="B35" s="3" t="s">
        <v>212</v>
      </c>
      <c r="C35" s="3" t="s">
        <v>225</v>
      </c>
      <c r="D35" s="3" t="s">
        <v>14</v>
      </c>
      <c r="E35" s="3" t="s">
        <v>15</v>
      </c>
      <c r="F35" s="3" t="s">
        <v>226</v>
      </c>
      <c r="G35" s="3" t="s">
        <v>227</v>
      </c>
      <c r="H35" s="3" t="s">
        <v>228</v>
      </c>
      <c r="I35" s="3" t="s">
        <v>229</v>
      </c>
      <c r="J35" s="3" t="s">
        <v>20</v>
      </c>
      <c r="K35" s="3" t="s">
        <v>230</v>
      </c>
    </row>
    <row r="36" customFormat="false" ht="23.25" hidden="false" customHeight="true" outlineLevel="0" collapsed="false">
      <c r="A36" s="3" t="s">
        <v>231</v>
      </c>
      <c r="B36" s="3" t="s">
        <v>212</v>
      </c>
      <c r="C36" s="3" t="s">
        <v>232</v>
      </c>
      <c r="D36" s="3" t="s">
        <v>24</v>
      </c>
      <c r="E36" s="3" t="s">
        <v>25</v>
      </c>
      <c r="F36" s="3" t="s">
        <v>233</v>
      </c>
      <c r="G36" s="3" t="s">
        <v>234</v>
      </c>
      <c r="H36" s="3" t="s">
        <v>27</v>
      </c>
      <c r="I36" s="3" t="s">
        <v>235</v>
      </c>
      <c r="J36" s="3" t="s">
        <v>20</v>
      </c>
      <c r="K36" s="3" t="s">
        <v>236</v>
      </c>
    </row>
    <row r="37" customFormat="false" ht="23.25" hidden="false" customHeight="true" outlineLevel="0" collapsed="false">
      <c r="A37" s="3" t="s">
        <v>237</v>
      </c>
      <c r="B37" s="3" t="s">
        <v>212</v>
      </c>
      <c r="C37" s="3" t="s">
        <v>238</v>
      </c>
      <c r="D37" s="3" t="s">
        <v>14</v>
      </c>
      <c r="E37" s="3" t="s">
        <v>15</v>
      </c>
      <c r="F37" s="3" t="s">
        <v>239</v>
      </c>
      <c r="G37" s="3" t="s">
        <v>240</v>
      </c>
      <c r="H37" s="3" t="s">
        <v>27</v>
      </c>
      <c r="I37" s="3" t="s">
        <v>241</v>
      </c>
      <c r="J37" s="3" t="s">
        <v>20</v>
      </c>
      <c r="K37" s="3" t="s">
        <v>242</v>
      </c>
    </row>
    <row r="38" customFormat="false" ht="23.25" hidden="false" customHeight="true" outlineLevel="0" collapsed="false">
      <c r="A38" s="3" t="s">
        <v>243</v>
      </c>
      <c r="B38" s="3" t="s">
        <v>212</v>
      </c>
      <c r="C38" s="3" t="s">
        <v>244</v>
      </c>
      <c r="D38" s="3" t="s">
        <v>24</v>
      </c>
      <c r="E38" s="3" t="s">
        <v>15</v>
      </c>
      <c r="F38" s="3" t="s">
        <v>245</v>
      </c>
      <c r="G38" s="3" t="s">
        <v>246</v>
      </c>
      <c r="H38" s="3" t="s">
        <v>27</v>
      </c>
      <c r="I38" s="3" t="s">
        <v>247</v>
      </c>
      <c r="J38" s="3" t="s">
        <v>20</v>
      </c>
      <c r="K38" s="3" t="s">
        <v>248</v>
      </c>
    </row>
  </sheetData>
  <autoFilter ref="A1:K38"/>
  <conditionalFormatting sqref="J2:J88">
    <cfRule type="cellIs" priority="2" operator="equal" aboveAverage="0" equalAverage="0" bottom="0" percent="0" rank="0" text="" dxfId="4">
      <formula>"Automated"</formula>
    </cfRule>
  </conditionalFormatting>
  <dataValidations count="3">
    <dataValidation allowBlank="true" errorStyle="stop" operator="between" showDropDown="false" showErrorMessage="false" showInputMessage="false" sqref="D2:D88" type="list">
      <formula1>"High,Medium,Low"</formula1>
      <formula2>0</formula2>
    </dataValidation>
    <dataValidation allowBlank="true" errorStyle="stop" operator="between" showDropDown="false" showErrorMessage="false" showInputMessage="false" sqref="E2:E88" type="list">
      <formula1>"Positive,Negative"</formula1>
      <formula2>0</formula2>
    </dataValidation>
    <dataValidation allowBlank="true" errorStyle="stop" operator="between" showDropDown="false" showErrorMessage="false" showInputMessage="false" sqref="J2:J88" type="list">
      <formula1>"Automated,Planned - step 2,Planned - step 3,Planned - step 4,Manual only"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5" min="2" style="1" width="14"/>
  </cols>
  <sheetData>
    <row r="1" customFormat="false" ht="17.25" hidden="false" customHeight="true" outlineLevel="0" collapsed="false">
      <c r="A1" s="4" t="s">
        <v>249</v>
      </c>
    </row>
    <row r="2" customFormat="false" ht="15" hidden="false" customHeight="true" outlineLevel="0" collapsed="false">
      <c r="A2" s="5" t="s">
        <v>250</v>
      </c>
    </row>
    <row r="4" customFormat="false" ht="15" hidden="false" customHeight="true" outlineLevel="0" collapsed="false">
      <c r="A4" s="6" t="s">
        <v>1</v>
      </c>
      <c r="B4" s="6" t="s">
        <v>251</v>
      </c>
      <c r="C4" s="6" t="s">
        <v>20</v>
      </c>
      <c r="D4" s="6" t="s">
        <v>252</v>
      </c>
      <c r="E4" s="6" t="s">
        <v>253</v>
      </c>
    </row>
    <row r="5" customFormat="false" ht="15" hidden="false" customHeight="true" outlineLevel="0" collapsed="false">
      <c r="A5" s="7" t="s">
        <v>12</v>
      </c>
      <c r="B5" s="8" t="n">
        <f aca="false">COUNTIF('Test Cases'!$B$2:$B$500,A5)</f>
        <v>6</v>
      </c>
      <c r="C5" s="8" t="n">
        <f aca="false">COUNTIFS('Test Cases'!$B$2:$B$500,A5,'Test Cases'!$J$2:$J$500,"Automated")</f>
        <v>6</v>
      </c>
      <c r="D5" s="8" t="n">
        <f aca="false">COUNTIFS('Test Cases'!$B$2:$B$500,A5,'Test Cases'!$J$2:$J$500,"Planned*")</f>
        <v>0</v>
      </c>
      <c r="E5" s="8" t="n">
        <f aca="false">COUNTIFS('Test Cases'!$B$2:$B$500,A5,'Test Cases'!$D$2:$D$500,"High")</f>
        <v>2</v>
      </c>
    </row>
    <row r="6" customFormat="false" ht="15" hidden="false" customHeight="true" outlineLevel="0" collapsed="false">
      <c r="A6" s="7" t="s">
        <v>56</v>
      </c>
      <c r="B6" s="8" t="n">
        <f aca="false">COUNTIF('Test Cases'!$B$2:$B$500,A6)</f>
        <v>4</v>
      </c>
      <c r="C6" s="8" t="n">
        <f aca="false">COUNTIFS('Test Cases'!$B$2:$B$500,A6,'Test Cases'!$J$2:$J$500,"Automated")</f>
        <v>4</v>
      </c>
      <c r="D6" s="8" t="n">
        <f aca="false">COUNTIFS('Test Cases'!$B$2:$B$500,A6,'Test Cases'!$J$2:$J$500,"Planned*")</f>
        <v>0</v>
      </c>
      <c r="E6" s="8" t="n">
        <f aca="false">COUNTIFS('Test Cases'!$B$2:$B$500,A6,'Test Cases'!$D$2:$D$500,"High")</f>
        <v>3</v>
      </c>
    </row>
    <row r="7" customFormat="false" ht="15" hidden="false" customHeight="true" outlineLevel="0" collapsed="false">
      <c r="A7" s="7" t="s">
        <v>82</v>
      </c>
      <c r="B7" s="8" t="n">
        <f aca="false">COUNTIF('Test Cases'!$B$2:$B$500,A7)</f>
        <v>5</v>
      </c>
      <c r="C7" s="8" t="n">
        <f aca="false">COUNTIFS('Test Cases'!$B$2:$B$500,A7,'Test Cases'!$J$2:$J$500,"Automated")</f>
        <v>5</v>
      </c>
      <c r="D7" s="8" t="n">
        <f aca="false">COUNTIFS('Test Cases'!$B$2:$B$500,A7,'Test Cases'!$J$2:$J$500,"Planned*")</f>
        <v>0</v>
      </c>
      <c r="E7" s="8" t="n">
        <f aca="false">COUNTIFS('Test Cases'!$B$2:$B$500,A7,'Test Cases'!$D$2:$D$500,"High")</f>
        <v>1</v>
      </c>
    </row>
    <row r="8" customFormat="false" ht="15" hidden="false" customHeight="true" outlineLevel="0" collapsed="false">
      <c r="A8" s="7" t="s">
        <v>113</v>
      </c>
      <c r="B8" s="8" t="n">
        <f aca="false">COUNTIF('Test Cases'!$B$2:$B$500,A8)</f>
        <v>7</v>
      </c>
      <c r="C8" s="8" t="n">
        <f aca="false">COUNTIFS('Test Cases'!$B$2:$B$500,A8,'Test Cases'!$J$2:$J$500,"Automated")</f>
        <v>7</v>
      </c>
      <c r="D8" s="8" t="n">
        <f aca="false">COUNTIFS('Test Cases'!$B$2:$B$500,A8,'Test Cases'!$J$2:$J$500,"Planned*")</f>
        <v>0</v>
      </c>
      <c r="E8" s="8" t="n">
        <f aca="false">COUNTIFS('Test Cases'!$B$2:$B$500,A8,'Test Cases'!$D$2:$D$500,"High")</f>
        <v>2</v>
      </c>
    </row>
    <row r="9" customFormat="false" ht="15" hidden="false" customHeight="true" outlineLevel="0" collapsed="false">
      <c r="A9" s="7" t="s">
        <v>152</v>
      </c>
      <c r="B9" s="8" t="n">
        <f aca="false">COUNTIF('Test Cases'!$B$2:$B$500,A9)</f>
        <v>6</v>
      </c>
      <c r="C9" s="8" t="n">
        <f aca="false">COUNTIFS('Test Cases'!$B$2:$B$500,A9,'Test Cases'!$J$2:$J$500,"Automated")</f>
        <v>6</v>
      </c>
      <c r="D9" s="8" t="n">
        <f aca="false">COUNTIFS('Test Cases'!$B$2:$B$500,A9,'Test Cases'!$J$2:$J$500,"Planned*")</f>
        <v>0</v>
      </c>
      <c r="E9" s="8" t="n">
        <f aca="false">COUNTIFS('Test Cases'!$B$2:$B$500,A9,'Test Cases'!$D$2:$D$500,"High")</f>
        <v>3</v>
      </c>
    </row>
    <row r="10" customFormat="false" ht="15" hidden="false" customHeight="true" outlineLevel="0" collapsed="false">
      <c r="A10" s="7" t="s">
        <v>194</v>
      </c>
      <c r="B10" s="8" t="n">
        <f aca="false">COUNTIF('Test Cases'!$B$2:$B$500,A10)</f>
        <v>3</v>
      </c>
      <c r="C10" s="8" t="n">
        <f aca="false">COUNTIFS('Test Cases'!$B$2:$B$500,A10,'Test Cases'!$J$2:$J$500,"Automated")</f>
        <v>3</v>
      </c>
      <c r="D10" s="8" t="n">
        <f aca="false">COUNTIFS('Test Cases'!$B$2:$B$500,A10,'Test Cases'!$J$2:$J$500,"Planned*")</f>
        <v>0</v>
      </c>
      <c r="E10" s="8" t="n">
        <f aca="false">COUNTIFS('Test Cases'!$B$2:$B$500,A10,'Test Cases'!$D$2:$D$500,"High")</f>
        <v>0</v>
      </c>
    </row>
    <row r="11" customFormat="false" ht="15" hidden="false" customHeight="true" outlineLevel="0" collapsed="false">
      <c r="A11" s="7" t="s">
        <v>212</v>
      </c>
      <c r="B11" s="8" t="n">
        <f aca="false">COUNTIF('Test Cases'!$B$2:$B$500,A11)</f>
        <v>6</v>
      </c>
      <c r="C11" s="8" t="n">
        <f aca="false">COUNTIFS('Test Cases'!$B$2:$B$500,A11,'Test Cases'!$J$2:$J$500,"Automated")</f>
        <v>6</v>
      </c>
      <c r="D11" s="8" t="n">
        <f aca="false">COUNTIFS('Test Cases'!$B$2:$B$500,A11,'Test Cases'!$J$2:$J$500,"Planned*")</f>
        <v>0</v>
      </c>
      <c r="E11" s="8" t="n">
        <f aca="false">COUNTIFS('Test Cases'!$B$2:$B$500,A11,'Test Cases'!$D$2:$D$500,"High")</f>
        <v>4</v>
      </c>
    </row>
    <row r="12" customFormat="false" ht="15" hidden="false" customHeight="true" outlineLevel="0" collapsed="false">
      <c r="A12" s="9" t="s">
        <v>251</v>
      </c>
      <c r="B12" s="10" t="n">
        <f aca="false">SUM(B5:B11)</f>
        <v>37</v>
      </c>
      <c r="C12" s="10" t="n">
        <f aca="false">SUM(C5:C11)</f>
        <v>37</v>
      </c>
      <c r="D12" s="10" t="n">
        <f aca="false">SUM(D5:D11)</f>
        <v>0</v>
      </c>
      <c r="E12" s="10" t="n">
        <f aca="false">SUM(E5:E11)</f>
        <v>15</v>
      </c>
    </row>
    <row r="14" customFormat="false" ht="15" hidden="false" customHeight="true" outlineLevel="0" collapsed="false">
      <c r="A14" s="11" t="s">
        <v>254</v>
      </c>
      <c r="B14" s="12" t="n">
        <f aca="false">IF(B12=0,0,C12/B12)</f>
        <v>1</v>
      </c>
    </row>
    <row r="16" customFormat="false" ht="15" hidden="false" customHeight="true" outlineLevel="0" collapsed="false">
      <c r="A16" s="11" t="s">
        <v>255</v>
      </c>
    </row>
    <row r="17" customFormat="false" ht="15" hidden="false" customHeight="true" outlineLevel="0" collapsed="false">
      <c r="A17" s="5" t="s">
        <v>256</v>
      </c>
    </row>
    <row r="18" customFormat="false" ht="15" hidden="false" customHeight="true" outlineLevel="0" collapsed="false">
      <c r="A18" s="5" t="s">
        <v>257</v>
      </c>
    </row>
    <row r="19" customFormat="false" ht="15" hidden="false" customHeight="true" outlineLevel="0" collapsed="false">
      <c r="A19" s="5" t="s">
        <v>258</v>
      </c>
    </row>
    <row r="20" customFormat="false" ht="15" hidden="false" customHeight="true" outlineLevel="0" collapsed="false">
      <c r="A20" s="5" t="s">
        <v>259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2026-10-07T16:34:11Z</dcterms:created>
  <dc:creator>openpyxl</dc:creator>
  <dc:description/>
  <dc:language>en-US</dc:language>
  <cp:lastModifiedBy/>
  <dcterms:modified xsi:type="dcterms:W3CDTF">2026-10-08T14:51:37Z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